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680" windowHeight="13020"/>
  </bookViews>
  <sheets>
    <sheet name="分组报价表" sheetId="2" r:id="rId1"/>
    <sheet name="48台逐柜清单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<sst xmlns="http://schemas.openxmlformats.org/spreadsheetml/2006/main" count="335" uniqueCount="198">
  <si>
    <t>主表｜厂家分组询价与报价填写</t>
  </si>
  <si>
    <t>填写黄色列。共18组：3组温湿度双控 + 15组湿度控制；型号相同但不同目标值或安装方式需差异报价时，请另列明细。</t>
  </si>
  <si>
    <t>说明：数量由逐柜清单公式统计；RH设定要求因柜而异。单价建议报人民币含税出厂价，运费/安装费/认证费用请单独列示。</t>
  </si>
  <si>
    <t>设备类别</t>
  </si>
  <si>
    <t>展柜容积(m³)</t>
  </si>
  <si>
    <t>客户目标值 / 条件</t>
  </si>
  <si>
    <t>数量(台)</t>
  </si>
  <si>
    <t>设备安装位置（涉及）</t>
  </si>
  <si>
    <t>推荐型号</t>
  </si>
  <si>
    <t>含税单价RMB</t>
  </si>
  <si>
    <t>报价小计RMB</t>
  </si>
  <si>
    <t>交期（天）</t>
  </si>
  <si>
    <t>外形尺寸mm（厂填）</t>
  </si>
  <si>
    <t>温湿度双控</t>
  </si>
  <si>
    <t>18°C；RH 25%</t>
  </si>
  <si>
    <t>墙面展柜背部</t>
  </si>
  <si>
    <t>18°C；RH 60%</t>
  </si>
  <si>
    <t>独立式展柜内部上方夹层</t>
  </si>
  <si>
    <t>仅湿度控制</t>
  </si>
  <si>
    <t>RH 25%</t>
  </si>
  <si>
    <t>RH 55%</t>
  </si>
  <si>
    <t>桌式展柜内部底座</t>
  </si>
  <si>
    <t>RH 25,30,45,50,60%</t>
  </si>
  <si>
    <t>墙面展柜背部、桌式展柜内部底座</t>
  </si>
  <si>
    <t>RH 30,45,55%</t>
  </si>
  <si>
    <t>RH 25,40,45,50%</t>
  </si>
  <si>
    <t>RH 30,35,40,45,55,60,65%</t>
  </si>
  <si>
    <t>RH 25,30,40,60%</t>
  </si>
  <si>
    <t>RH 40%</t>
  </si>
  <si>
    <t>RH 60%</t>
  </si>
  <si>
    <t>RH 45%</t>
  </si>
  <si>
    <t>组合式展柜内部底座</t>
  </si>
  <si>
    <t>报价补充信息（厂家填写）</t>
  </si>
  <si>
    <t>报价厂家/联系人：</t>
  </si>
  <si>
    <t>请注明是否含税、运费、出口包装、欧洲配送、安装调试</t>
  </si>
  <si>
    <t>报价日期及有效期：</t>
  </si>
  <si>
    <t>请确认可适用于西班牙使用环境，最终供电条件待业主确认</t>
  </si>
  <si>
    <t>价格条款：</t>
  </si>
  <si>
    <t>请列明现有CE/DoC等可提供文件，不应将未提供的证书视为已具备</t>
  </si>
  <si>
    <t>电源要求：</t>
  </si>
  <si>
    <t>请列明开模/开发费、最小起订量、单柜安装附件费用</t>
  </si>
  <si>
    <t>认证/文件：</t>
  </si>
  <si>
    <t>请说明滤材/耗材/补水/排水/维护周期及年度维护成本和质保</t>
  </si>
  <si>
    <t>如需特殊定制：</t>
  </si>
  <si>
    <t>售后与耗材：</t>
  </si>
  <si>
    <t>附件一｜48台设备逐柜参数清单</t>
  </si>
  <si>
    <t>每行对应1台设备；T和RH为客户提供的设定值，展柜容积均为约数。黄色列由厂家按需填写。</t>
  </si>
  <si>
    <t>说明：空白温度项＝客户未提出温控要求，并非明确要求无需温控；设备主机实际尺寸与工程边界条件待确认。</t>
  </si>
  <si>
    <t>归档编号</t>
  </si>
  <si>
    <t>原清单序号</t>
  </si>
  <si>
    <t>展柜识别编码</t>
  </si>
  <si>
    <t>展陈名称（原文）</t>
  </si>
  <si>
    <t>目标温度(°C)</t>
  </si>
  <si>
    <t>目标湿度(%RH)</t>
  </si>
  <si>
    <t>控制设备安装位置</t>
  </si>
  <si>
    <t>厂家推荐机型</t>
  </si>
  <si>
    <t>逐台特殊备注</t>
  </si>
  <si>
    <t>厂家单台价(元，选填)</t>
  </si>
  <si>
    <t>TH-01</t>
  </si>
  <si>
    <t>AII SA 2V</t>
  </si>
  <si>
    <t>Armas para una conquista</t>
  </si>
  <si>
    <t>TH-02</t>
  </si>
  <si>
    <t>AII SA 3V</t>
  </si>
  <si>
    <t>Edicto de Bembibre</t>
  </si>
  <si>
    <t>TH-03</t>
  </si>
  <si>
    <t>AIV SA 4V</t>
  </si>
  <si>
    <t>El Cristo de Carrizo</t>
  </si>
  <si>
    <t>RH-01</t>
  </si>
  <si>
    <t>AI SB 1V</t>
  </si>
  <si>
    <t>Calcolítico y Edad del Bronce</t>
  </si>
  <si>
    <t>RH-02</t>
  </si>
  <si>
    <t>AI SB 2VM</t>
  </si>
  <si>
    <t>RH-03</t>
  </si>
  <si>
    <t>AI SC 1V (↓)</t>
  </si>
  <si>
    <t>I Edad del Hierro</t>
  </si>
  <si>
    <t>RH-04</t>
  </si>
  <si>
    <t>AI SC 2V</t>
  </si>
  <si>
    <t>II Edad del Hierro</t>
  </si>
  <si>
    <t>RH-05</t>
  </si>
  <si>
    <t>AI SC 3VC</t>
  </si>
  <si>
    <t>Orfebrería indígena</t>
  </si>
  <si>
    <t>RH-06</t>
  </si>
  <si>
    <t>AI SD 1V</t>
  </si>
  <si>
    <t>Minería y metalurgia prehistórica y romana</t>
  </si>
  <si>
    <t>RH-07</t>
  </si>
  <si>
    <t>AI SD 2VM</t>
  </si>
  <si>
    <t>Depósito de Valdevimbre</t>
  </si>
  <si>
    <t>RH-08</t>
  </si>
  <si>
    <t>AI SLE 1V (↑)</t>
  </si>
  <si>
    <t>El Castro de Chano</t>
  </si>
  <si>
    <t>RH-09</t>
  </si>
  <si>
    <t>AI SLE 1V' (↓)</t>
  </si>
  <si>
    <t>RH-10</t>
  </si>
  <si>
    <t>AII SA 1V</t>
  </si>
  <si>
    <t>El oro de Roma</t>
  </si>
  <si>
    <t>RH-11</t>
  </si>
  <si>
    <t>AII SB 1V (↑)</t>
  </si>
  <si>
    <t>Vida cotidiana</t>
  </si>
  <si>
    <t>RH-12</t>
  </si>
  <si>
    <t>AII SB 1V' (↓)</t>
  </si>
  <si>
    <t>RH-13</t>
  </si>
  <si>
    <t>AII SC 1V</t>
  </si>
  <si>
    <t>Artes y creencias</t>
  </si>
  <si>
    <t>RH-14</t>
  </si>
  <si>
    <t>AIII SA 2V</t>
  </si>
  <si>
    <t>Imágenes en el hogar</t>
  </si>
  <si>
    <t>RH-15</t>
  </si>
  <si>
    <t>AIII SA 1VM</t>
  </si>
  <si>
    <t>Instrumenta domestica</t>
  </si>
  <si>
    <t>RH-16</t>
  </si>
  <si>
    <t>AIII SC 1V</t>
  </si>
  <si>
    <t>La llegada del cristianismo</t>
  </si>
  <si>
    <t>RH-17</t>
  </si>
  <si>
    <t>AIII SC 2V</t>
  </si>
  <si>
    <t>El mundo hispanovisigodo</t>
  </si>
  <si>
    <t>RH-18</t>
  </si>
  <si>
    <t>AIII SD 1VM</t>
  </si>
  <si>
    <t>El ajuar de las villas</t>
  </si>
  <si>
    <t>RH-19</t>
  </si>
  <si>
    <t>AIII SD 2VM</t>
  </si>
  <si>
    <t>La vida en el campo</t>
  </si>
  <si>
    <t>RH-20</t>
  </si>
  <si>
    <t>AIV SA 2VC</t>
  </si>
  <si>
    <t>Artes del fuego: esmaltes</t>
  </si>
  <si>
    <t>RH-21</t>
  </si>
  <si>
    <t>AIV SB 1V</t>
  </si>
  <si>
    <t>Artes góticas</t>
  </si>
  <si>
    <t>RH-22</t>
  </si>
  <si>
    <t>AIV SC 1V' (↓)</t>
  </si>
  <si>
    <t>Artesanado medieval</t>
  </si>
  <si>
    <t>RH-23</t>
  </si>
  <si>
    <t>AIV SC 2V'</t>
  </si>
  <si>
    <t>Tejido hispanomusulmán</t>
  </si>
  <si>
    <t>RH-24</t>
  </si>
  <si>
    <t>AIV SC 3V</t>
  </si>
  <si>
    <t>Las artes de la guerra</t>
  </si>
  <si>
    <t>RH-25</t>
  </si>
  <si>
    <t>AIV SD 1VM</t>
  </si>
  <si>
    <t>Camino hacia Santiago</t>
  </si>
  <si>
    <t>RH-26</t>
  </si>
  <si>
    <t>AV SA 1V</t>
  </si>
  <si>
    <t>Cruces procesionales de plata</t>
  </si>
  <si>
    <t>RH-27</t>
  </si>
  <si>
    <t>AV SA 2V</t>
  </si>
  <si>
    <t>Tabla del Descendimiento</t>
  </si>
  <si>
    <t>RH-28</t>
  </si>
  <si>
    <t>AV SA 3V</t>
  </si>
  <si>
    <t>Tabla de la caída de los ángeles rebeldes</t>
  </si>
  <si>
    <t>RH-29</t>
  </si>
  <si>
    <t>AV SB 7V</t>
  </si>
  <si>
    <t>Tabla de la Crucifixión y grabado de Durero</t>
  </si>
  <si>
    <t>RH-30</t>
  </si>
  <si>
    <t>AV SD 1V</t>
  </si>
  <si>
    <t>Liturgia</t>
  </si>
  <si>
    <t>RH-31</t>
  </si>
  <si>
    <t>AV SD 2V</t>
  </si>
  <si>
    <t>Ostentación</t>
  </si>
  <si>
    <t>RH-32</t>
  </si>
  <si>
    <t>AV SD 4V</t>
  </si>
  <si>
    <t>Ejecutoria de hidalguía</t>
  </si>
  <si>
    <t>RH-33</t>
  </si>
  <si>
    <t>AV SHE 1V' (↓)</t>
  </si>
  <si>
    <t>Entre dos mundos</t>
  </si>
  <si>
    <t>RH-34</t>
  </si>
  <si>
    <t>AVI SA 1V</t>
  </si>
  <si>
    <t>Crucificados y cáliz de marfil</t>
  </si>
  <si>
    <t>RH-35</t>
  </si>
  <si>
    <t>AVI SB 1V</t>
  </si>
  <si>
    <t>Pistolas y sables</t>
  </si>
  <si>
    <t>RH-36</t>
  </si>
  <si>
    <t>AVI SB 2VM</t>
  </si>
  <si>
    <t>RH-37</t>
  </si>
  <si>
    <t>AVI SB 3VM</t>
  </si>
  <si>
    <t>Religiosidad popular</t>
  </si>
  <si>
    <t>RH-38</t>
  </si>
  <si>
    <t>AVI SC 2V</t>
  </si>
  <si>
    <t>Indumentaria masculina tradicional</t>
  </si>
  <si>
    <t>RH-39</t>
  </si>
  <si>
    <t>AVI SC 3V</t>
  </si>
  <si>
    <t>Indumentaria y joyería tradicional: femenina e infantil</t>
  </si>
  <si>
    <t>RH-40</t>
  </si>
  <si>
    <t>AVI SC 4V</t>
  </si>
  <si>
    <t>Varas de cuentas</t>
  </si>
  <si>
    <t>RH-41</t>
  </si>
  <si>
    <t>AVI SHE 1V</t>
  </si>
  <si>
    <t>De celebración: realces y música</t>
  </si>
  <si>
    <t>RH-42</t>
  </si>
  <si>
    <t>AVII SA 2VM</t>
  </si>
  <si>
    <t>Fundación de la ciudad: las legiones VI Victrix y VII Gemina</t>
  </si>
  <si>
    <t>RH-43</t>
  </si>
  <si>
    <t>AVII SB 1V</t>
  </si>
  <si>
    <t>La Edad Media</t>
  </si>
  <si>
    <t>RH-44</t>
  </si>
  <si>
    <t>AVII SC 2V</t>
  </si>
  <si>
    <t>Escultura San Isidoro de León</t>
  </si>
  <si>
    <t>RH-45</t>
  </si>
  <si>
    <t>AVII SC 1VM</t>
  </si>
  <si>
    <t>Vida cotidiana en la Edad Moderna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</si>
</sst>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7"/>
      <color rgb="FFFFFFFF"/>
      <name val="Carlito"/>
      <charset val="134"/>
    </font>
    <font>
      <sz val="10"/>
      <color rgb="FF0F766E"/>
      <name val="Carlito"/>
      <charset val="134"/>
    </font>
    <font>
      <sz val="10"/>
      <color rgb="FF9A5A15"/>
      <name val="Carlito"/>
      <charset val="134"/>
    </font>
    <font>
      <b/>
      <sz val="10"/>
      <color rgb="FFFFFFFF"/>
      <name val="Carlito"/>
      <charset val="134"/>
    </font>
    <font>
      <sz val="10"/>
      <color rgb="FF243448"/>
      <name val="Carlito"/>
      <charset val="134"/>
    </font>
    <font>
      <sz val="10"/>
      <color rgb="FF8F5819"/>
      <name val="Carlito"/>
      <charset val="134"/>
    </font>
    <font>
      <b/>
      <sz val="11"/>
      <color rgb="FF142C47"/>
      <name val="Carlito"/>
      <charset val="134"/>
    </font>
    <font>
      <sz val="11"/>
      <color rgb="FFFF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42C47"/>
        <bgColor indexed="64"/>
      </patternFill>
    </fill>
    <fill>
      <patternFill patternType="solid">
        <fgColor rgb="FFE9F4F4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8F3FA"/>
        <bgColor indexed="64"/>
      </patternFill>
    </fill>
    <fill>
      <patternFill patternType="solid">
        <fgColor rgb="FFFFF0D9"/>
        <bgColor indexed="64"/>
      </patternFill>
    </fill>
    <fill>
      <patternFill patternType="solid">
        <fgColor rgb="FFE6F1FC"/>
        <bgColor indexed="64"/>
      </patternFill>
    </fill>
    <fill>
      <patternFill patternType="solid">
        <fgColor rgb="FFEF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/>
  </cellStyleXfs>
  <cellXfs count="28">
    <xf numFmtId="0" fontId="0" fillId="0" borderId="0" xfId="49"/>
    <xf numFmtId="0" fontId="0" fillId="0" borderId="0" xfId="49" applyAlignment="1">
      <alignment vertical="center"/>
    </xf>
    <xf numFmtId="0" fontId="1" fillId="2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/>
    </xf>
    <xf numFmtId="0" fontId="4" fillId="4" borderId="0" xfId="49" applyNumberFormat="1" applyFont="1" applyFill="1" applyBorder="1" applyAlignment="1">
      <alignment horizontal="center" vertical="center" wrapText="1"/>
    </xf>
    <xf numFmtId="0" fontId="5" fillId="5" borderId="0" xfId="49" applyNumberFormat="1" applyFont="1" applyFill="1" applyBorder="1" applyAlignment="1">
      <alignment horizontal="center" vertical="center" wrapText="1"/>
    </xf>
    <xf numFmtId="0" fontId="5" fillId="5" borderId="0" xfId="49" applyNumberFormat="1" applyFont="1" applyFill="1" applyBorder="1" applyAlignment="1">
      <alignment vertical="center" wrapText="1"/>
    </xf>
    <xf numFmtId="2" fontId="5" fillId="5" borderId="0" xfId="49" applyNumberFormat="1" applyFont="1" applyFill="1" applyBorder="1" applyAlignment="1">
      <alignment horizontal="center" vertical="center" wrapText="1"/>
    </xf>
    <xf numFmtId="0" fontId="5" fillId="6" borderId="0" xfId="49" applyNumberFormat="1" applyFont="1" applyFill="1" applyBorder="1" applyAlignment="1">
      <alignment vertical="center" wrapText="1"/>
    </xf>
    <xf numFmtId="4" fontId="5" fillId="6" borderId="0" xfId="49" applyNumberFormat="1" applyFont="1" applyFill="1" applyBorder="1" applyAlignment="1">
      <alignment vertical="center" wrapText="1"/>
    </xf>
    <xf numFmtId="0" fontId="5" fillId="0" borderId="0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vertical="center" wrapText="1"/>
    </xf>
    <xf numFmtId="2" fontId="5" fillId="0" borderId="0" xfId="49" applyNumberFormat="1" applyFont="1" applyFill="1" applyBorder="1" applyAlignment="1">
      <alignment horizontal="center" vertical="center" wrapText="1"/>
    </xf>
    <xf numFmtId="0" fontId="0" fillId="0" borderId="0" xfId="49" applyAlignment="1">
      <alignment horizontal="center" vertical="center"/>
    </xf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vertical="center" wrapText="1"/>
    </xf>
    <xf numFmtId="0" fontId="6" fillId="0" borderId="0" xfId="49" applyNumberFormat="1" applyFont="1" applyFill="1" applyBorder="1" applyAlignment="1">
      <alignment horizontal="center" vertical="center" wrapText="1"/>
    </xf>
    <xf numFmtId="0" fontId="5" fillId="7" borderId="0" xfId="49" applyNumberFormat="1" applyFont="1" applyFill="1" applyBorder="1" applyAlignment="1">
      <alignment vertical="center" wrapText="1"/>
    </xf>
    <xf numFmtId="0" fontId="5" fillId="6" borderId="1" xfId="49" applyNumberFormat="1" applyFont="1" applyFill="1" applyBorder="1" applyAlignment="1">
      <alignment vertical="center" wrapText="1"/>
    </xf>
    <xf numFmtId="4" fontId="5" fillId="6" borderId="1" xfId="49" applyNumberFormat="1" applyFont="1" applyFill="1" applyBorder="1" applyAlignment="1">
      <alignment vertical="center" wrapText="1"/>
    </xf>
    <xf numFmtId="4" fontId="5" fillId="0" borderId="1" xfId="49" applyNumberFormat="1" applyFont="1" applyFill="1" applyBorder="1" applyAlignment="1">
      <alignment vertical="center" wrapText="1"/>
    </xf>
    <xf numFmtId="0" fontId="5" fillId="8" borderId="0" xfId="49" applyNumberFormat="1" applyFont="1" applyFill="1" applyBorder="1" applyAlignment="1">
      <alignment vertical="center" wrapText="1"/>
    </xf>
    <xf numFmtId="0" fontId="7" fillId="8" borderId="1" xfId="49" applyNumberFormat="1" applyFont="1" applyFill="1" applyBorder="1" applyAlignment="1">
      <alignment wrapText="1"/>
    </xf>
    <xf numFmtId="0" fontId="0" fillId="6" borderId="1" xfId="49" applyNumberFormat="1" applyFont="1" applyFill="1" applyBorder="1" applyAlignment="1">
      <alignment wrapText="1"/>
    </xf>
    <xf numFmtId="0" fontId="0" fillId="6" borderId="1" xfId="49" applyNumberFormat="1" applyFont="1" applyFill="1" applyBorder="1" applyAlignment="1">
      <alignment horizontal="center" vertical="center" wrapText="1"/>
    </xf>
    <xf numFmtId="0" fontId="8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zoomScale="68" zoomScaleNormal="68" workbookViewId="0">
      <pane ySplit="4" topLeftCell="A5" activePane="bottomLeft" state="frozen"/>
      <selection/>
      <selection pane="bottomLeft" activeCell="F27" sqref="F27:J27"/>
    </sheetView>
  </sheetViews>
  <sheetFormatPr defaultColWidth="9" defaultRowHeight="16.8"/>
  <cols>
    <col min="1" max="1" width="18" customWidth="1"/>
    <col min="2" max="2" width="16.2132352941176" customWidth="1"/>
    <col min="3" max="3" width="23.9632352941176" customWidth="1"/>
    <col min="4" max="4" width="10.9926470588235" customWidth="1"/>
    <col min="5" max="5" width="29.7279411764706" style="14" customWidth="1"/>
    <col min="6" max="6" width="17.2941176470588" customWidth="1"/>
    <col min="7" max="7" width="17.8382352941176" customWidth="1"/>
    <col min="8" max="8" width="20.3602941176471" customWidth="1"/>
    <col min="9" max="9" width="15" customWidth="1"/>
    <col min="10" max="10" width="27" customWidth="1"/>
  </cols>
  <sheetData>
    <row r="1" ht="36" customHeight="1" spans="1:10">
      <c r="A1" s="2" t="s">
        <v>0</v>
      </c>
      <c r="B1" s="2"/>
      <c r="C1" s="2"/>
      <c r="D1" s="2"/>
      <c r="E1" s="15"/>
      <c r="F1" s="2"/>
      <c r="G1" s="2"/>
      <c r="H1" s="2"/>
      <c r="I1" s="2"/>
      <c r="J1" s="2"/>
    </row>
    <row r="2" ht="29" customHeight="1" spans="1:10">
      <c r="A2" s="3" t="s">
        <v>1</v>
      </c>
      <c r="B2" s="3"/>
      <c r="C2" s="3"/>
      <c r="D2" s="3"/>
      <c r="E2" s="16"/>
      <c r="F2" s="3"/>
      <c r="G2" s="3"/>
      <c r="H2" s="3"/>
      <c r="I2" s="3"/>
      <c r="J2" s="3"/>
    </row>
    <row r="3" s="1" customFormat="1" ht="28" customHeight="1" spans="1:10">
      <c r="A3" s="17" t="s">
        <v>2</v>
      </c>
      <c r="B3" s="17"/>
      <c r="C3" s="17"/>
      <c r="D3" s="17"/>
      <c r="E3" s="18"/>
      <c r="F3" s="17"/>
      <c r="G3" s="17"/>
      <c r="H3" s="17"/>
      <c r="I3" s="17"/>
      <c r="J3" s="17"/>
    </row>
    <row r="4" ht="34" customHeight="1" spans="1:10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</row>
    <row r="5" ht="35" customHeight="1" spans="1:10">
      <c r="A5" s="19" t="s">
        <v>13</v>
      </c>
      <c r="B5" s="13">
        <v>0.25</v>
      </c>
      <c r="C5" s="11" t="s">
        <v>14</v>
      </c>
      <c r="D5" s="11">
        <f>COUNTIFS('48台逐柜清单'!$B$5:$B$52,A5,'48台逐柜清单'!$F$5:$F$52,B5)</f>
        <v>1</v>
      </c>
      <c r="E5" s="11" t="s">
        <v>15</v>
      </c>
      <c r="F5" s="20"/>
      <c r="G5" s="21"/>
      <c r="H5" s="22" t="str">
        <f t="shared" ref="H5:H22" si="0">IF(G5="","",D5*G5)</f>
        <v/>
      </c>
      <c r="I5" s="20"/>
      <c r="J5" s="20"/>
    </row>
    <row r="6" ht="35" customHeight="1" spans="1:10">
      <c r="A6" s="19" t="s">
        <v>13</v>
      </c>
      <c r="B6" s="13">
        <v>0.45</v>
      </c>
      <c r="C6" s="11" t="s">
        <v>16</v>
      </c>
      <c r="D6" s="11">
        <f>COUNTIFS('48台逐柜清单'!$B$5:$B$52,A6,'48台逐柜清单'!$F$5:$F$52,B6)</f>
        <v>1</v>
      </c>
      <c r="E6" s="11" t="s">
        <v>17</v>
      </c>
      <c r="F6" s="20"/>
      <c r="G6" s="21"/>
      <c r="H6" s="22" t="str">
        <f t="shared" si="0"/>
        <v/>
      </c>
      <c r="I6" s="20"/>
      <c r="J6" s="20"/>
    </row>
    <row r="7" ht="35" customHeight="1" spans="1:10">
      <c r="A7" s="19" t="s">
        <v>13</v>
      </c>
      <c r="B7" s="13">
        <v>1</v>
      </c>
      <c r="C7" s="11" t="s">
        <v>14</v>
      </c>
      <c r="D7" s="11">
        <f>COUNTIFS('48台逐柜清单'!$B$5:$B$52,A7,'48台逐柜清单'!$F$5:$F$52,B7)</f>
        <v>1</v>
      </c>
      <c r="E7" s="11" t="s">
        <v>15</v>
      </c>
      <c r="F7" s="20"/>
      <c r="G7" s="21"/>
      <c r="H7" s="22" t="str">
        <f t="shared" si="0"/>
        <v/>
      </c>
      <c r="I7" s="20"/>
      <c r="J7" s="20"/>
    </row>
    <row r="8" ht="35" customHeight="1" spans="1:10">
      <c r="A8" s="23" t="s">
        <v>18</v>
      </c>
      <c r="B8" s="13">
        <v>0.15</v>
      </c>
      <c r="C8" s="11" t="s">
        <v>19</v>
      </c>
      <c r="D8" s="11">
        <f>COUNTIFS('48台逐柜清单'!$B$5:$B$52,A8,'48台逐柜清单'!$F$5:$F$52,B8)</f>
        <v>2</v>
      </c>
      <c r="E8" s="11" t="s">
        <v>15</v>
      </c>
      <c r="F8" s="20"/>
      <c r="G8" s="21"/>
      <c r="H8" s="22" t="str">
        <f t="shared" si="0"/>
        <v/>
      </c>
      <c r="I8" s="20"/>
      <c r="J8" s="20"/>
    </row>
    <row r="9" ht="35" customHeight="1" spans="1:10">
      <c r="A9" s="23" t="s">
        <v>18</v>
      </c>
      <c r="B9" s="13">
        <v>0.2</v>
      </c>
      <c r="C9" s="11" t="s">
        <v>20</v>
      </c>
      <c r="D9" s="11">
        <f>COUNTIFS('48台逐柜清单'!$B$5:$B$52,A9,'48台逐柜清单'!$F$5:$F$52,B9)</f>
        <v>1</v>
      </c>
      <c r="E9" s="11" t="s">
        <v>15</v>
      </c>
      <c r="F9" s="20"/>
      <c r="G9" s="21"/>
      <c r="H9" s="22" t="str">
        <f t="shared" si="0"/>
        <v/>
      </c>
      <c r="I9" s="20"/>
      <c r="J9" s="20"/>
    </row>
    <row r="10" ht="35" customHeight="1" spans="1:10">
      <c r="A10" s="23" t="s">
        <v>18</v>
      </c>
      <c r="B10" s="13">
        <v>0.25</v>
      </c>
      <c r="C10" s="11" t="s">
        <v>19</v>
      </c>
      <c r="D10" s="11">
        <f>COUNTIFS('48台逐柜清单'!$B$5:$B$52,A10,'48台逐柜清单'!$F$5:$F$52,B10)</f>
        <v>1</v>
      </c>
      <c r="E10" s="11" t="s">
        <v>21</v>
      </c>
      <c r="F10" s="20"/>
      <c r="G10" s="21"/>
      <c r="H10" s="22" t="str">
        <f t="shared" si="0"/>
        <v/>
      </c>
      <c r="I10" s="20"/>
      <c r="J10" s="20"/>
    </row>
    <row r="11" ht="35" customHeight="1" spans="1:10">
      <c r="A11" s="23" t="s">
        <v>18</v>
      </c>
      <c r="B11" s="13">
        <v>0.35</v>
      </c>
      <c r="C11" s="11" t="s">
        <v>22</v>
      </c>
      <c r="D11" s="11">
        <f>COUNTIFS('48台逐柜清单'!$B$5:$B$52,A11,'48台逐柜清单'!$F$5:$F$52,B11)</f>
        <v>8</v>
      </c>
      <c r="E11" s="11" t="s">
        <v>23</v>
      </c>
      <c r="F11" s="20"/>
      <c r="G11" s="21"/>
      <c r="H11" s="22" t="str">
        <f t="shared" si="0"/>
        <v/>
      </c>
      <c r="I11" s="20"/>
      <c r="J11" s="20"/>
    </row>
    <row r="12" ht="35" customHeight="1" spans="1:10">
      <c r="A12" s="23" t="s">
        <v>18</v>
      </c>
      <c r="B12" s="13">
        <v>0.45</v>
      </c>
      <c r="C12" s="11" t="s">
        <v>24</v>
      </c>
      <c r="D12" s="11">
        <f>COUNTIFS('48台逐柜清单'!$B$5:$B$52,A12,'48台逐柜清单'!$F$5:$F$52,B12)</f>
        <v>5</v>
      </c>
      <c r="E12" s="11" t="s">
        <v>23</v>
      </c>
      <c r="F12" s="20"/>
      <c r="G12" s="21"/>
      <c r="H12" s="22" t="str">
        <f t="shared" si="0"/>
        <v/>
      </c>
      <c r="I12" s="20"/>
      <c r="J12" s="20"/>
    </row>
    <row r="13" ht="35" customHeight="1" spans="1:10">
      <c r="A13" s="23" t="s">
        <v>18</v>
      </c>
      <c r="B13" s="13">
        <v>0.5</v>
      </c>
      <c r="C13" s="11" t="s">
        <v>25</v>
      </c>
      <c r="D13" s="11">
        <f>COUNTIFS('48台逐柜清单'!$B$5:$B$52,A13,'48台逐柜清单'!$F$5:$F$52,B13)</f>
        <v>6</v>
      </c>
      <c r="E13" s="11" t="s">
        <v>15</v>
      </c>
      <c r="F13" s="20"/>
      <c r="G13" s="21"/>
      <c r="H13" s="22" t="str">
        <f t="shared" si="0"/>
        <v/>
      </c>
      <c r="I13" s="20"/>
      <c r="J13" s="20"/>
    </row>
    <row r="14" ht="35" customHeight="1" spans="1:10">
      <c r="A14" s="23" t="s">
        <v>18</v>
      </c>
      <c r="B14" s="13">
        <v>0.6</v>
      </c>
      <c r="C14" s="11" t="s">
        <v>26</v>
      </c>
      <c r="D14" s="11">
        <f>COUNTIFS('48台逐柜清单'!$B$5:$B$52,A14,'48台逐柜清单'!$F$5:$F$52,B14)</f>
        <v>9</v>
      </c>
      <c r="E14" s="11" t="s">
        <v>23</v>
      </c>
      <c r="F14" s="20"/>
      <c r="G14" s="21"/>
      <c r="H14" s="22" t="str">
        <f t="shared" si="0"/>
        <v/>
      </c>
      <c r="I14" s="20"/>
      <c r="J14" s="20"/>
    </row>
    <row r="15" ht="35" customHeight="1" spans="1:10">
      <c r="A15" s="23" t="s">
        <v>18</v>
      </c>
      <c r="B15" s="13">
        <v>0.75</v>
      </c>
      <c r="C15" s="11" t="s">
        <v>27</v>
      </c>
      <c r="D15" s="11">
        <f>COUNTIFS('48台逐柜清单'!$B$5:$B$52,A15,'48台逐柜清单'!$F$5:$F$52,B15)</f>
        <v>5</v>
      </c>
      <c r="E15" s="11" t="s">
        <v>15</v>
      </c>
      <c r="F15" s="20"/>
      <c r="G15" s="21"/>
      <c r="H15" s="22" t="str">
        <f t="shared" si="0"/>
        <v/>
      </c>
      <c r="I15" s="20"/>
      <c r="J15" s="20"/>
    </row>
    <row r="16" ht="35" customHeight="1" spans="1:10">
      <c r="A16" s="23" t="s">
        <v>18</v>
      </c>
      <c r="B16" s="13">
        <v>1</v>
      </c>
      <c r="C16" s="11" t="s">
        <v>28</v>
      </c>
      <c r="D16" s="11">
        <f>COUNTIFS('48台逐柜清单'!$B$5:$B$52,A16,'48台逐柜清单'!$F$5:$F$52,B16)</f>
        <v>1</v>
      </c>
      <c r="E16" s="11" t="s">
        <v>15</v>
      </c>
      <c r="F16" s="20"/>
      <c r="G16" s="21"/>
      <c r="H16" s="22" t="str">
        <f t="shared" si="0"/>
        <v/>
      </c>
      <c r="I16" s="20"/>
      <c r="J16" s="20"/>
    </row>
    <row r="17" ht="35" customHeight="1" spans="1:10">
      <c r="A17" s="23" t="s">
        <v>18</v>
      </c>
      <c r="B17" s="13">
        <v>1.2</v>
      </c>
      <c r="C17" s="11" t="s">
        <v>29</v>
      </c>
      <c r="D17" s="11">
        <f>COUNTIFS('48台逐柜清单'!$B$5:$B$52,A17,'48台逐柜清单'!$F$5:$F$52,B17)</f>
        <v>1</v>
      </c>
      <c r="E17" s="11" t="s">
        <v>15</v>
      </c>
      <c r="F17" s="20"/>
      <c r="G17" s="21"/>
      <c r="H17" s="22" t="str">
        <f t="shared" si="0"/>
        <v/>
      </c>
      <c r="I17" s="20"/>
      <c r="J17" s="20"/>
    </row>
    <row r="18" ht="35" customHeight="1" spans="1:10">
      <c r="A18" s="23" t="s">
        <v>18</v>
      </c>
      <c r="B18" s="13">
        <v>1.3</v>
      </c>
      <c r="C18" s="11" t="s">
        <v>30</v>
      </c>
      <c r="D18" s="11">
        <f>COUNTIFS('48台逐柜清单'!$B$5:$B$52,A18,'48台逐柜清单'!$F$5:$F$52,B18)</f>
        <v>1</v>
      </c>
      <c r="E18" s="11" t="s">
        <v>15</v>
      </c>
      <c r="F18" s="20"/>
      <c r="G18" s="21"/>
      <c r="H18" s="22" t="str">
        <f t="shared" si="0"/>
        <v/>
      </c>
      <c r="I18" s="20"/>
      <c r="J18" s="20"/>
    </row>
    <row r="19" ht="35" customHeight="1" spans="1:10">
      <c r="A19" s="23" t="s">
        <v>18</v>
      </c>
      <c r="B19" s="13">
        <v>1.5</v>
      </c>
      <c r="C19" s="11" t="s">
        <v>30</v>
      </c>
      <c r="D19" s="11">
        <f>COUNTIFS('48台逐柜清单'!$B$5:$B$52,A19,'48台逐柜清单'!$F$5:$F$52,B19)</f>
        <v>1</v>
      </c>
      <c r="E19" s="11" t="s">
        <v>15</v>
      </c>
      <c r="F19" s="20"/>
      <c r="G19" s="21"/>
      <c r="H19" s="22" t="str">
        <f t="shared" si="0"/>
        <v/>
      </c>
      <c r="I19" s="20"/>
      <c r="J19" s="20"/>
    </row>
    <row r="20" ht="35" customHeight="1" spans="1:10">
      <c r="A20" s="23" t="s">
        <v>18</v>
      </c>
      <c r="B20" s="13">
        <v>1.8</v>
      </c>
      <c r="C20" s="11" t="s">
        <v>19</v>
      </c>
      <c r="D20" s="11">
        <f>COUNTIFS('48台逐柜清单'!$B$5:$B$52,A20,'48台逐柜清单'!$F$5:$F$52,B20)</f>
        <v>1</v>
      </c>
      <c r="E20" s="11" t="s">
        <v>31</v>
      </c>
      <c r="F20" s="20"/>
      <c r="G20" s="21"/>
      <c r="H20" s="22" t="str">
        <f t="shared" si="0"/>
        <v/>
      </c>
      <c r="I20" s="20"/>
      <c r="J20" s="20"/>
    </row>
    <row r="21" ht="35" customHeight="1" spans="1:10">
      <c r="A21" s="23" t="s">
        <v>18</v>
      </c>
      <c r="B21" s="13">
        <v>2</v>
      </c>
      <c r="C21" s="11" t="s">
        <v>19</v>
      </c>
      <c r="D21" s="11">
        <f>COUNTIFS('48台逐柜清单'!$B$5:$B$52,A21,'48台逐柜清单'!$F$5:$F$52,B21)</f>
        <v>1</v>
      </c>
      <c r="E21" s="11" t="s">
        <v>31</v>
      </c>
      <c r="F21" s="20"/>
      <c r="G21" s="21"/>
      <c r="H21" s="22" t="str">
        <f t="shared" si="0"/>
        <v/>
      </c>
      <c r="I21" s="20"/>
      <c r="J21" s="20"/>
    </row>
    <row r="22" ht="35" customHeight="1" spans="1:10">
      <c r="A22" s="23" t="s">
        <v>18</v>
      </c>
      <c r="B22" s="13">
        <v>3.3</v>
      </c>
      <c r="C22" s="11" t="s">
        <v>30</v>
      </c>
      <c r="D22" s="11">
        <f>COUNTIFS('48台逐柜清单'!$B$5:$B$52,A22,'48台逐柜清单'!$F$5:$F$52,B22)</f>
        <v>2</v>
      </c>
      <c r="E22" s="11" t="s">
        <v>15</v>
      </c>
      <c r="F22" s="20"/>
      <c r="G22" s="21"/>
      <c r="H22" s="22" t="str">
        <f t="shared" si="0"/>
        <v/>
      </c>
      <c r="I22" s="20"/>
      <c r="J22" s="20"/>
    </row>
    <row r="24" ht="34" customHeight="1" spans="1:10">
      <c r="A24" s="5" t="s">
        <v>32</v>
      </c>
      <c r="B24" s="5"/>
      <c r="C24" s="5"/>
      <c r="D24" s="5"/>
      <c r="E24" s="5"/>
      <c r="F24" s="5"/>
      <c r="G24" s="5"/>
      <c r="H24" s="5"/>
      <c r="I24" s="5"/>
      <c r="J24" s="5"/>
    </row>
    <row r="25" ht="28" customHeight="1" spans="1:10">
      <c r="A25" s="24" t="s">
        <v>33</v>
      </c>
      <c r="B25" s="25"/>
      <c r="C25" s="25"/>
      <c r="D25" s="25"/>
      <c r="E25" s="26"/>
      <c r="F25" s="27" t="s">
        <v>34</v>
      </c>
      <c r="G25" s="27"/>
      <c r="H25" s="27"/>
      <c r="I25" s="27"/>
      <c r="J25" s="27"/>
    </row>
    <row r="26" ht="28" customHeight="1" spans="1:10">
      <c r="A26" s="24" t="s">
        <v>35</v>
      </c>
      <c r="B26" s="25"/>
      <c r="C26" s="25"/>
      <c r="D26" s="25"/>
      <c r="E26" s="26"/>
      <c r="F26" s="27" t="s">
        <v>36</v>
      </c>
      <c r="G26" s="27"/>
      <c r="H26" s="27"/>
      <c r="I26" s="27"/>
      <c r="J26" s="27"/>
    </row>
    <row r="27" ht="28" customHeight="1" spans="1:10">
      <c r="A27" s="24" t="s">
        <v>37</v>
      </c>
      <c r="B27" s="25"/>
      <c r="C27" s="25"/>
      <c r="D27" s="25"/>
      <c r="E27" s="26"/>
      <c r="F27" s="27" t="s">
        <v>38</v>
      </c>
      <c r="G27" s="27"/>
      <c r="H27" s="27"/>
      <c r="I27" s="27"/>
      <c r="J27" s="27"/>
    </row>
    <row r="28" ht="28" customHeight="1" spans="1:10">
      <c r="A28" s="24" t="s">
        <v>39</v>
      </c>
      <c r="B28" s="25"/>
      <c r="C28" s="25"/>
      <c r="D28" s="25"/>
      <c r="E28" s="26"/>
      <c r="F28" s="27" t="s">
        <v>40</v>
      </c>
      <c r="G28" s="27"/>
      <c r="H28" s="27"/>
      <c r="I28" s="27"/>
      <c r="J28" s="27"/>
    </row>
    <row r="29" ht="28" customHeight="1" spans="1:10">
      <c r="A29" s="24" t="s">
        <v>41</v>
      </c>
      <c r="B29" s="25"/>
      <c r="C29" s="25"/>
      <c r="D29" s="25"/>
      <c r="E29" s="26"/>
      <c r="F29" s="27" t="s">
        <v>42</v>
      </c>
      <c r="G29" s="27"/>
      <c r="H29" s="27"/>
      <c r="I29" s="27"/>
      <c r="J29" s="27"/>
    </row>
    <row r="30" ht="28" customHeight="1" spans="1:10">
      <c r="A30" s="24" t="s">
        <v>43</v>
      </c>
      <c r="B30" s="25"/>
      <c r="C30" s="25"/>
      <c r="D30" s="25"/>
      <c r="E30" s="26"/>
    </row>
    <row r="31" ht="28" customHeight="1" spans="1:10">
      <c r="A31" s="24" t="s">
        <v>44</v>
      </c>
      <c r="B31" s="25"/>
      <c r="C31" s="25"/>
      <c r="D31" s="25"/>
      <c r="E31" s="26"/>
    </row>
  </sheetData>
  <mergeCells count="9">
    <mergeCell ref="A1:J1"/>
    <mergeCell ref="A2:J2"/>
    <mergeCell ref="A3:J3"/>
    <mergeCell ref="A24:J24"/>
    <mergeCell ref="F25:J25"/>
    <mergeCell ref="F26:J26"/>
    <mergeCell ref="F27:J27"/>
    <mergeCell ref="F28:J28"/>
    <mergeCell ref="F29:J2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workbookViewId="0">
      <pane ySplit="4" topLeftCell="A5" activePane="bottomLeft" state="frozen"/>
      <selection/>
      <selection pane="bottomLeft" activeCell="J8" sqref="J8"/>
    </sheetView>
  </sheetViews>
  <sheetFormatPr defaultColWidth="9" defaultRowHeight="16.8"/>
  <cols>
    <col min="1" max="1" width="14" customWidth="1"/>
    <col min="2" max="2" width="18" customWidth="1"/>
    <col min="3" max="3" width="15" customWidth="1"/>
    <col min="4" max="4" width="24" customWidth="1"/>
    <col min="5" max="5" width="48" customWidth="1"/>
    <col min="6" max="6" width="19" customWidth="1"/>
    <col min="7" max="8" width="17" customWidth="1"/>
    <col min="9" max="9" width="31" customWidth="1"/>
    <col min="10" max="10" width="26" customWidth="1"/>
    <col min="11" max="11" width="38" customWidth="1"/>
    <col min="12" max="12" width="24" customWidth="1"/>
  </cols>
  <sheetData>
    <row r="1" ht="36" customHeight="1" spans="1:12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9" customHeight="1" spans="1:12">
      <c r="A2" s="3" t="s">
        <v>46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="1" customFormat="1" ht="26" customHeight="1" spans="1:12">
      <c r="A3" s="4" t="s">
        <v>47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34" customHeight="1" spans="1:12">
      <c r="A4" s="5" t="s">
        <v>48</v>
      </c>
      <c r="B4" s="5" t="s">
        <v>3</v>
      </c>
      <c r="C4" s="5" t="s">
        <v>49</v>
      </c>
      <c r="D4" s="5" t="s">
        <v>50</v>
      </c>
      <c r="E4" s="5" t="s">
        <v>51</v>
      </c>
      <c r="F4" s="5" t="s">
        <v>4</v>
      </c>
      <c r="G4" s="5" t="s">
        <v>52</v>
      </c>
      <c r="H4" s="5" t="s">
        <v>53</v>
      </c>
      <c r="I4" s="5" t="s">
        <v>54</v>
      </c>
      <c r="J4" s="5" t="s">
        <v>55</v>
      </c>
      <c r="K4" s="5" t="s">
        <v>56</v>
      </c>
      <c r="L4" s="5" t="s">
        <v>57</v>
      </c>
    </row>
    <row r="5" ht="27" customHeight="1" spans="1:12">
      <c r="A5" s="6" t="s">
        <v>58</v>
      </c>
      <c r="B5" s="6" t="s">
        <v>13</v>
      </c>
      <c r="C5" s="6">
        <v>1</v>
      </c>
      <c r="D5" s="6" t="s">
        <v>59</v>
      </c>
      <c r="E5" s="7" t="s">
        <v>60</v>
      </c>
      <c r="F5" s="8">
        <v>1</v>
      </c>
      <c r="G5" s="6">
        <v>18</v>
      </c>
      <c r="H5" s="6">
        <v>25</v>
      </c>
      <c r="I5" s="7" t="s">
        <v>15</v>
      </c>
      <c r="J5" s="9"/>
      <c r="K5" s="9"/>
      <c r="L5" s="10"/>
    </row>
    <row r="6" ht="27" customHeight="1" spans="1:12">
      <c r="A6" s="6" t="s">
        <v>61</v>
      </c>
      <c r="B6" s="6" t="s">
        <v>13</v>
      </c>
      <c r="C6" s="6">
        <v>2</v>
      </c>
      <c r="D6" s="6" t="s">
        <v>62</v>
      </c>
      <c r="E6" s="7" t="s">
        <v>63</v>
      </c>
      <c r="F6" s="8">
        <v>0.25</v>
      </c>
      <c r="G6" s="6">
        <v>18</v>
      </c>
      <c r="H6" s="6">
        <v>25</v>
      </c>
      <c r="I6" s="7" t="s">
        <v>15</v>
      </c>
      <c r="J6" s="9"/>
      <c r="K6" s="9"/>
      <c r="L6" s="10"/>
    </row>
    <row r="7" ht="27" customHeight="1" spans="1:12">
      <c r="A7" s="6" t="s">
        <v>64</v>
      </c>
      <c r="B7" s="6" t="s">
        <v>13</v>
      </c>
      <c r="C7" s="6">
        <v>3</v>
      </c>
      <c r="D7" s="6" t="s">
        <v>65</v>
      </c>
      <c r="E7" s="7" t="s">
        <v>66</v>
      </c>
      <c r="F7" s="8">
        <v>0.45</v>
      </c>
      <c r="G7" s="6">
        <v>18</v>
      </c>
      <c r="H7" s="6">
        <v>60</v>
      </c>
      <c r="I7" s="7" t="s">
        <v>17</v>
      </c>
      <c r="J7" s="9"/>
      <c r="K7" s="9"/>
      <c r="L7" s="10"/>
    </row>
    <row r="8" ht="27" customHeight="1" spans="1:12">
      <c r="A8" s="11" t="s">
        <v>67</v>
      </c>
      <c r="B8" s="11" t="s">
        <v>18</v>
      </c>
      <c r="C8" s="11">
        <v>1</v>
      </c>
      <c r="D8" s="11" t="s">
        <v>68</v>
      </c>
      <c r="E8" s="12" t="s">
        <v>69</v>
      </c>
      <c r="F8" s="13">
        <v>0.35</v>
      </c>
      <c r="G8" s="11"/>
      <c r="H8" s="11">
        <v>25</v>
      </c>
      <c r="I8" s="12" t="s">
        <v>15</v>
      </c>
      <c r="J8" s="9"/>
      <c r="K8" s="9"/>
      <c r="L8" s="10"/>
    </row>
    <row r="9" ht="27" customHeight="1" spans="1:12">
      <c r="A9" s="11" t="s">
        <v>70</v>
      </c>
      <c r="B9" s="11" t="s">
        <v>18</v>
      </c>
      <c r="C9" s="11">
        <v>2</v>
      </c>
      <c r="D9" s="11" t="s">
        <v>71</v>
      </c>
      <c r="E9" s="12" t="s">
        <v>69</v>
      </c>
      <c r="F9" s="13">
        <v>0.25</v>
      </c>
      <c r="G9" s="11"/>
      <c r="H9" s="11">
        <v>25</v>
      </c>
      <c r="I9" s="12" t="s">
        <v>21</v>
      </c>
      <c r="J9" s="9"/>
      <c r="K9" s="9"/>
      <c r="L9" s="10"/>
    </row>
    <row r="10" ht="27" customHeight="1" spans="1:12">
      <c r="A10" s="11" t="s">
        <v>72</v>
      </c>
      <c r="B10" s="11" t="s">
        <v>18</v>
      </c>
      <c r="C10" s="11">
        <v>3</v>
      </c>
      <c r="D10" s="11" t="s">
        <v>73</v>
      </c>
      <c r="E10" s="12" t="s">
        <v>74</v>
      </c>
      <c r="F10" s="13">
        <v>0.5</v>
      </c>
      <c r="G10" s="11"/>
      <c r="H10" s="11">
        <v>40</v>
      </c>
      <c r="I10" s="12" t="s">
        <v>15</v>
      </c>
      <c r="J10" s="9"/>
      <c r="K10" s="9"/>
      <c r="L10" s="10"/>
    </row>
    <row r="11" ht="27" customHeight="1" spans="1:12">
      <c r="A11" s="11" t="s">
        <v>75</v>
      </c>
      <c r="B11" s="11" t="s">
        <v>18</v>
      </c>
      <c r="C11" s="11">
        <v>4</v>
      </c>
      <c r="D11" s="11" t="s">
        <v>76</v>
      </c>
      <c r="E11" s="12" t="s">
        <v>77</v>
      </c>
      <c r="F11" s="13">
        <v>0.75</v>
      </c>
      <c r="G11" s="11"/>
      <c r="H11" s="11">
        <v>30</v>
      </c>
      <c r="I11" s="12" t="s">
        <v>15</v>
      </c>
      <c r="J11" s="9"/>
      <c r="K11" s="9"/>
      <c r="L11" s="10"/>
    </row>
    <row r="12" ht="27" customHeight="1" spans="1:12">
      <c r="A12" s="11" t="s">
        <v>78</v>
      </c>
      <c r="B12" s="11" t="s">
        <v>18</v>
      </c>
      <c r="C12" s="11">
        <v>5</v>
      </c>
      <c r="D12" s="11" t="s">
        <v>79</v>
      </c>
      <c r="E12" s="12" t="s">
        <v>80</v>
      </c>
      <c r="F12" s="13">
        <v>1.8</v>
      </c>
      <c r="G12" s="11"/>
      <c r="H12" s="11">
        <v>25</v>
      </c>
      <c r="I12" s="12" t="s">
        <v>31</v>
      </c>
      <c r="J12" s="9"/>
      <c r="K12" s="9"/>
      <c r="L12" s="10"/>
    </row>
    <row r="13" ht="27" customHeight="1" spans="1:12">
      <c r="A13" s="11" t="s">
        <v>81</v>
      </c>
      <c r="B13" s="11" t="s">
        <v>18</v>
      </c>
      <c r="C13" s="11">
        <v>6</v>
      </c>
      <c r="D13" s="11" t="s">
        <v>82</v>
      </c>
      <c r="E13" s="12" t="s">
        <v>83</v>
      </c>
      <c r="F13" s="13">
        <v>0.75</v>
      </c>
      <c r="G13" s="11"/>
      <c r="H13" s="11">
        <v>25</v>
      </c>
      <c r="I13" s="12" t="s">
        <v>15</v>
      </c>
      <c r="J13" s="9"/>
      <c r="K13" s="9"/>
      <c r="L13" s="10"/>
    </row>
    <row r="14" ht="27" customHeight="1" spans="1:12">
      <c r="A14" s="11" t="s">
        <v>84</v>
      </c>
      <c r="B14" s="11" t="s">
        <v>18</v>
      </c>
      <c r="C14" s="11">
        <v>7</v>
      </c>
      <c r="D14" s="11" t="s">
        <v>85</v>
      </c>
      <c r="E14" s="12" t="s">
        <v>86</v>
      </c>
      <c r="F14" s="13">
        <v>0.35</v>
      </c>
      <c r="G14" s="11"/>
      <c r="H14" s="11">
        <v>25</v>
      </c>
      <c r="I14" s="12" t="s">
        <v>21</v>
      </c>
      <c r="J14" s="9"/>
      <c r="K14" s="9"/>
      <c r="L14" s="10"/>
    </row>
    <row r="15" ht="27" customHeight="1" spans="1:12">
      <c r="A15" s="11" t="s">
        <v>87</v>
      </c>
      <c r="B15" s="11" t="s">
        <v>18</v>
      </c>
      <c r="C15" s="11">
        <v>8</v>
      </c>
      <c r="D15" s="11" t="s">
        <v>88</v>
      </c>
      <c r="E15" s="12" t="s">
        <v>89</v>
      </c>
      <c r="F15" s="13">
        <v>0.15</v>
      </c>
      <c r="G15" s="11"/>
      <c r="H15" s="11">
        <v>25</v>
      </c>
      <c r="I15" s="12" t="s">
        <v>15</v>
      </c>
      <c r="J15" s="9"/>
      <c r="K15" s="9"/>
      <c r="L15" s="10"/>
    </row>
    <row r="16" ht="27" customHeight="1" spans="1:12">
      <c r="A16" s="11" t="s">
        <v>90</v>
      </c>
      <c r="B16" s="11" t="s">
        <v>18</v>
      </c>
      <c r="C16" s="11">
        <v>9</v>
      </c>
      <c r="D16" s="11" t="s">
        <v>91</v>
      </c>
      <c r="E16" s="12" t="s">
        <v>89</v>
      </c>
      <c r="F16" s="13">
        <v>0.15</v>
      </c>
      <c r="G16" s="11"/>
      <c r="H16" s="11">
        <v>25</v>
      </c>
      <c r="I16" s="12" t="s">
        <v>15</v>
      </c>
      <c r="J16" s="9"/>
      <c r="K16" s="9"/>
      <c r="L16" s="10"/>
    </row>
    <row r="17" ht="27" customHeight="1" spans="1:12">
      <c r="A17" s="11" t="s">
        <v>92</v>
      </c>
      <c r="B17" s="11" t="s">
        <v>18</v>
      </c>
      <c r="C17" s="11">
        <v>10</v>
      </c>
      <c r="D17" s="11" t="s">
        <v>93</v>
      </c>
      <c r="E17" s="12" t="s">
        <v>94</v>
      </c>
      <c r="F17" s="13">
        <v>0.35</v>
      </c>
      <c r="G17" s="11"/>
      <c r="H17" s="11">
        <v>30</v>
      </c>
      <c r="I17" s="12" t="s">
        <v>15</v>
      </c>
      <c r="J17" s="9"/>
      <c r="K17" s="9"/>
      <c r="L17" s="10"/>
    </row>
    <row r="18" ht="27" customHeight="1" spans="1:12">
      <c r="A18" s="11" t="s">
        <v>95</v>
      </c>
      <c r="B18" s="11" t="s">
        <v>18</v>
      </c>
      <c r="C18" s="11">
        <v>11</v>
      </c>
      <c r="D18" s="11" t="s">
        <v>96</v>
      </c>
      <c r="E18" s="12" t="s">
        <v>97</v>
      </c>
      <c r="F18" s="13">
        <v>0.75</v>
      </c>
      <c r="G18" s="11"/>
      <c r="H18" s="11">
        <v>30</v>
      </c>
      <c r="I18" s="12" t="s">
        <v>15</v>
      </c>
      <c r="J18" s="9"/>
      <c r="K18" s="9"/>
      <c r="L18" s="10"/>
    </row>
    <row r="19" ht="27" customHeight="1" spans="1:12">
      <c r="A19" s="11" t="s">
        <v>98</v>
      </c>
      <c r="B19" s="11" t="s">
        <v>18</v>
      </c>
      <c r="C19" s="11">
        <v>12</v>
      </c>
      <c r="D19" s="11" t="s">
        <v>99</v>
      </c>
      <c r="E19" s="12" t="s">
        <v>97</v>
      </c>
      <c r="F19" s="13">
        <v>0.75</v>
      </c>
      <c r="G19" s="11"/>
      <c r="H19" s="11">
        <v>40</v>
      </c>
      <c r="I19" s="12" t="s">
        <v>15</v>
      </c>
      <c r="J19" s="9"/>
      <c r="K19" s="9"/>
      <c r="L19" s="10"/>
    </row>
    <row r="20" ht="27" customHeight="1" spans="1:12">
      <c r="A20" s="11" t="s">
        <v>100</v>
      </c>
      <c r="B20" s="11" t="s">
        <v>18</v>
      </c>
      <c r="C20" s="11">
        <v>13</v>
      </c>
      <c r="D20" s="11" t="s">
        <v>101</v>
      </c>
      <c r="E20" s="12" t="s">
        <v>102</v>
      </c>
      <c r="F20" s="13">
        <v>1</v>
      </c>
      <c r="G20" s="11"/>
      <c r="H20" s="11">
        <v>40</v>
      </c>
      <c r="I20" s="12" t="s">
        <v>15</v>
      </c>
      <c r="J20" s="9"/>
      <c r="K20" s="9"/>
      <c r="L20" s="10"/>
    </row>
    <row r="21" ht="27" customHeight="1" spans="1:12">
      <c r="A21" s="11" t="s">
        <v>103</v>
      </c>
      <c r="B21" s="11" t="s">
        <v>18</v>
      </c>
      <c r="C21" s="11">
        <v>14</v>
      </c>
      <c r="D21" s="11" t="s">
        <v>104</v>
      </c>
      <c r="E21" s="12" t="s">
        <v>105</v>
      </c>
      <c r="F21" s="13">
        <v>0.45</v>
      </c>
      <c r="G21" s="11"/>
      <c r="H21" s="11">
        <v>30</v>
      </c>
      <c r="I21" s="12" t="s">
        <v>15</v>
      </c>
      <c r="J21" s="9"/>
      <c r="K21" s="9"/>
      <c r="L21" s="10"/>
    </row>
    <row r="22" ht="27" customHeight="1" spans="1:12">
      <c r="A22" s="11" t="s">
        <v>106</v>
      </c>
      <c r="B22" s="11" t="s">
        <v>18</v>
      </c>
      <c r="C22" s="11">
        <v>15</v>
      </c>
      <c r="D22" s="11" t="s">
        <v>107</v>
      </c>
      <c r="E22" s="12" t="s">
        <v>108</v>
      </c>
      <c r="F22" s="13">
        <v>0.35</v>
      </c>
      <c r="G22" s="11"/>
      <c r="H22" s="11">
        <v>25</v>
      </c>
      <c r="I22" s="12" t="s">
        <v>21</v>
      </c>
      <c r="J22" s="9"/>
      <c r="K22" s="9"/>
      <c r="L22" s="10"/>
    </row>
    <row r="23" ht="27" customHeight="1" spans="1:12">
      <c r="A23" s="11" t="s">
        <v>109</v>
      </c>
      <c r="B23" s="11" t="s">
        <v>18</v>
      </c>
      <c r="C23" s="11">
        <v>16</v>
      </c>
      <c r="D23" s="11" t="s">
        <v>110</v>
      </c>
      <c r="E23" s="12" t="s">
        <v>111</v>
      </c>
      <c r="F23" s="13">
        <v>0.5</v>
      </c>
      <c r="G23" s="11"/>
      <c r="H23" s="11">
        <v>45</v>
      </c>
      <c r="I23" s="12" t="s">
        <v>15</v>
      </c>
      <c r="J23" s="9"/>
      <c r="K23" s="9"/>
      <c r="L23" s="10"/>
    </row>
    <row r="24" ht="27" customHeight="1" spans="1:12">
      <c r="A24" s="11" t="s">
        <v>112</v>
      </c>
      <c r="B24" s="11" t="s">
        <v>18</v>
      </c>
      <c r="C24" s="11">
        <v>17</v>
      </c>
      <c r="D24" s="11" t="s">
        <v>113</v>
      </c>
      <c r="E24" s="12" t="s">
        <v>114</v>
      </c>
      <c r="F24" s="13">
        <v>0.6</v>
      </c>
      <c r="G24" s="11"/>
      <c r="H24" s="11">
        <v>30</v>
      </c>
      <c r="I24" s="12" t="s">
        <v>15</v>
      </c>
      <c r="J24" s="9"/>
      <c r="K24" s="9"/>
      <c r="L24" s="10"/>
    </row>
    <row r="25" ht="27" customHeight="1" spans="1:12">
      <c r="A25" s="11" t="s">
        <v>115</v>
      </c>
      <c r="B25" s="11" t="s">
        <v>18</v>
      </c>
      <c r="C25" s="11">
        <v>18</v>
      </c>
      <c r="D25" s="11" t="s">
        <v>116</v>
      </c>
      <c r="E25" s="12" t="s">
        <v>117</v>
      </c>
      <c r="F25" s="13">
        <v>0.6</v>
      </c>
      <c r="G25" s="11"/>
      <c r="H25" s="11">
        <v>30</v>
      </c>
      <c r="I25" s="12" t="s">
        <v>21</v>
      </c>
      <c r="J25" s="9"/>
      <c r="K25" s="9"/>
      <c r="L25" s="10"/>
    </row>
    <row r="26" ht="27" customHeight="1" spans="1:12">
      <c r="A26" s="11" t="s">
        <v>118</v>
      </c>
      <c r="B26" s="11" t="s">
        <v>18</v>
      </c>
      <c r="C26" s="11">
        <v>19</v>
      </c>
      <c r="D26" s="11" t="s">
        <v>119</v>
      </c>
      <c r="E26" s="12" t="s">
        <v>120</v>
      </c>
      <c r="F26" s="13">
        <v>0.45</v>
      </c>
      <c r="G26" s="11"/>
      <c r="H26" s="11">
        <v>30</v>
      </c>
      <c r="I26" s="12" t="s">
        <v>21</v>
      </c>
      <c r="J26" s="9"/>
      <c r="K26" s="9"/>
      <c r="L26" s="10"/>
    </row>
    <row r="27" ht="27" customHeight="1" spans="1:12">
      <c r="A27" s="11" t="s">
        <v>121</v>
      </c>
      <c r="B27" s="11" t="s">
        <v>18</v>
      </c>
      <c r="C27" s="11">
        <v>20</v>
      </c>
      <c r="D27" s="11" t="s">
        <v>122</v>
      </c>
      <c r="E27" s="12" t="s">
        <v>123</v>
      </c>
      <c r="F27" s="13">
        <v>2</v>
      </c>
      <c r="G27" s="11"/>
      <c r="H27" s="11">
        <v>25</v>
      </c>
      <c r="I27" s="12" t="s">
        <v>31</v>
      </c>
      <c r="J27" s="9"/>
      <c r="K27" s="9"/>
      <c r="L27" s="10"/>
    </row>
    <row r="28" ht="27" customHeight="1" spans="1:12">
      <c r="A28" s="11" t="s">
        <v>124</v>
      </c>
      <c r="B28" s="11" t="s">
        <v>18</v>
      </c>
      <c r="C28" s="11">
        <v>21</v>
      </c>
      <c r="D28" s="11" t="s">
        <v>125</v>
      </c>
      <c r="E28" s="12" t="s">
        <v>126</v>
      </c>
      <c r="F28" s="13">
        <v>0.75</v>
      </c>
      <c r="G28" s="11"/>
      <c r="H28" s="11">
        <v>60</v>
      </c>
      <c r="I28" s="12" t="s">
        <v>15</v>
      </c>
      <c r="J28" s="9"/>
      <c r="K28" s="9"/>
      <c r="L28" s="10"/>
    </row>
    <row r="29" ht="27" customHeight="1" spans="1:12">
      <c r="A29" s="11" t="s">
        <v>127</v>
      </c>
      <c r="B29" s="11" t="s">
        <v>18</v>
      </c>
      <c r="C29" s="11">
        <v>22</v>
      </c>
      <c r="D29" s="11" t="s">
        <v>128</v>
      </c>
      <c r="E29" s="12" t="s">
        <v>129</v>
      </c>
      <c r="F29" s="13">
        <v>0.35</v>
      </c>
      <c r="G29" s="11"/>
      <c r="H29" s="11">
        <v>45</v>
      </c>
      <c r="I29" s="12" t="s">
        <v>15</v>
      </c>
      <c r="J29" s="9"/>
      <c r="K29" s="9"/>
      <c r="L29" s="10"/>
    </row>
    <row r="30" ht="27" customHeight="1" spans="1:12">
      <c r="A30" s="11" t="s">
        <v>130</v>
      </c>
      <c r="B30" s="11" t="s">
        <v>18</v>
      </c>
      <c r="C30" s="11">
        <v>23</v>
      </c>
      <c r="D30" s="11" t="s">
        <v>131</v>
      </c>
      <c r="E30" s="12" t="s">
        <v>132</v>
      </c>
      <c r="F30" s="13">
        <v>0.5</v>
      </c>
      <c r="G30" s="11"/>
      <c r="H30" s="11">
        <v>50</v>
      </c>
      <c r="I30" s="12" t="s">
        <v>15</v>
      </c>
      <c r="J30" s="9"/>
      <c r="K30" s="9"/>
      <c r="L30" s="10"/>
    </row>
    <row r="31" ht="27" customHeight="1" spans="1:12">
      <c r="A31" s="11" t="s">
        <v>133</v>
      </c>
      <c r="B31" s="11" t="s">
        <v>18</v>
      </c>
      <c r="C31" s="11">
        <v>24</v>
      </c>
      <c r="D31" s="11" t="s">
        <v>134</v>
      </c>
      <c r="E31" s="12" t="s">
        <v>135</v>
      </c>
      <c r="F31" s="13">
        <v>0.5</v>
      </c>
      <c r="G31" s="11"/>
      <c r="H31" s="11">
        <v>25</v>
      </c>
      <c r="I31" s="12" t="s">
        <v>15</v>
      </c>
      <c r="J31" s="9"/>
      <c r="K31" s="9"/>
      <c r="L31" s="10"/>
    </row>
    <row r="32" ht="27" customHeight="1" spans="1:12">
      <c r="A32" s="11" t="s">
        <v>136</v>
      </c>
      <c r="B32" s="11" t="s">
        <v>18</v>
      </c>
      <c r="C32" s="11">
        <v>25</v>
      </c>
      <c r="D32" s="11" t="s">
        <v>137</v>
      </c>
      <c r="E32" s="12" t="s">
        <v>138</v>
      </c>
      <c r="F32" s="13">
        <v>0.35</v>
      </c>
      <c r="G32" s="11"/>
      <c r="H32" s="11">
        <v>60</v>
      </c>
      <c r="I32" s="12" t="s">
        <v>21</v>
      </c>
      <c r="J32" s="9"/>
      <c r="K32" s="9"/>
      <c r="L32" s="10"/>
    </row>
    <row r="33" ht="27" customHeight="1" spans="1:12">
      <c r="A33" s="11" t="s">
        <v>139</v>
      </c>
      <c r="B33" s="11" t="s">
        <v>18</v>
      </c>
      <c r="C33" s="11">
        <v>26</v>
      </c>
      <c r="D33" s="11" t="s">
        <v>140</v>
      </c>
      <c r="E33" s="12" t="s">
        <v>141</v>
      </c>
      <c r="F33" s="13">
        <v>1.3</v>
      </c>
      <c r="G33" s="11"/>
      <c r="H33" s="11">
        <v>45</v>
      </c>
      <c r="I33" s="12" t="s">
        <v>15</v>
      </c>
      <c r="J33" s="9"/>
      <c r="K33" s="9"/>
      <c r="L33" s="10"/>
    </row>
    <row r="34" ht="27" customHeight="1" spans="1:12">
      <c r="A34" s="11" t="s">
        <v>142</v>
      </c>
      <c r="B34" s="11" t="s">
        <v>18</v>
      </c>
      <c r="C34" s="11">
        <v>27</v>
      </c>
      <c r="D34" s="11" t="s">
        <v>143</v>
      </c>
      <c r="E34" s="12" t="s">
        <v>144</v>
      </c>
      <c r="F34" s="13">
        <v>0.6</v>
      </c>
      <c r="G34" s="11"/>
      <c r="H34" s="11">
        <v>65</v>
      </c>
      <c r="I34" s="12" t="s">
        <v>15</v>
      </c>
      <c r="J34" s="9"/>
      <c r="K34" s="9"/>
      <c r="L34" s="10"/>
    </row>
    <row r="35" ht="27" customHeight="1" spans="1:12">
      <c r="A35" s="11" t="s">
        <v>145</v>
      </c>
      <c r="B35" s="11" t="s">
        <v>18</v>
      </c>
      <c r="C35" s="11">
        <v>28</v>
      </c>
      <c r="D35" s="11" t="s">
        <v>146</v>
      </c>
      <c r="E35" s="12" t="s">
        <v>147</v>
      </c>
      <c r="F35" s="13">
        <v>0.6</v>
      </c>
      <c r="G35" s="11"/>
      <c r="H35" s="11">
        <v>65</v>
      </c>
      <c r="I35" s="12" t="s">
        <v>15</v>
      </c>
      <c r="J35" s="9"/>
      <c r="K35" s="9"/>
      <c r="L35" s="10"/>
    </row>
    <row r="36" ht="27" customHeight="1" spans="1:12">
      <c r="A36" s="11" t="s">
        <v>148</v>
      </c>
      <c r="B36" s="11" t="s">
        <v>18</v>
      </c>
      <c r="C36" s="11">
        <v>29</v>
      </c>
      <c r="D36" s="11" t="s">
        <v>149</v>
      </c>
      <c r="E36" s="12" t="s">
        <v>150</v>
      </c>
      <c r="F36" s="13">
        <v>0.6</v>
      </c>
      <c r="G36" s="11"/>
      <c r="H36" s="11">
        <v>55</v>
      </c>
      <c r="I36" s="12" t="s">
        <v>15</v>
      </c>
      <c r="J36" s="9"/>
      <c r="K36" s="9"/>
      <c r="L36" s="10"/>
    </row>
    <row r="37" ht="27" customHeight="1" spans="1:12">
      <c r="A37" s="11" t="s">
        <v>151</v>
      </c>
      <c r="B37" s="11" t="s">
        <v>18</v>
      </c>
      <c r="C37" s="11">
        <v>30</v>
      </c>
      <c r="D37" s="11" t="s">
        <v>152</v>
      </c>
      <c r="E37" s="12" t="s">
        <v>153</v>
      </c>
      <c r="F37" s="13">
        <v>0.5</v>
      </c>
      <c r="G37" s="11"/>
      <c r="H37" s="11">
        <v>40</v>
      </c>
      <c r="I37" s="12" t="s">
        <v>15</v>
      </c>
      <c r="J37" s="9"/>
      <c r="K37" s="9"/>
      <c r="L37" s="10"/>
    </row>
    <row r="38" ht="27" customHeight="1" spans="1:12">
      <c r="A38" s="11" t="s">
        <v>154</v>
      </c>
      <c r="B38" s="11" t="s">
        <v>18</v>
      </c>
      <c r="C38" s="11">
        <v>31</v>
      </c>
      <c r="D38" s="11" t="s">
        <v>155</v>
      </c>
      <c r="E38" s="12" t="s">
        <v>156</v>
      </c>
      <c r="F38" s="13">
        <v>0.6</v>
      </c>
      <c r="G38" s="11"/>
      <c r="H38" s="11">
        <v>35</v>
      </c>
      <c r="I38" s="12" t="s">
        <v>15</v>
      </c>
      <c r="J38" s="9"/>
      <c r="K38" s="9"/>
      <c r="L38" s="10"/>
    </row>
    <row r="39" ht="27" customHeight="1" spans="1:12">
      <c r="A39" s="11" t="s">
        <v>157</v>
      </c>
      <c r="B39" s="11" t="s">
        <v>18</v>
      </c>
      <c r="C39" s="11">
        <v>32</v>
      </c>
      <c r="D39" s="11" t="s">
        <v>158</v>
      </c>
      <c r="E39" s="12" t="s">
        <v>159</v>
      </c>
      <c r="F39" s="13">
        <v>0.2</v>
      </c>
      <c r="G39" s="11"/>
      <c r="H39" s="11">
        <v>55</v>
      </c>
      <c r="I39" s="12" t="s">
        <v>15</v>
      </c>
      <c r="J39" s="9"/>
      <c r="K39" s="9"/>
      <c r="L39" s="10"/>
    </row>
    <row r="40" ht="27" customHeight="1" spans="1:12">
      <c r="A40" s="11" t="s">
        <v>160</v>
      </c>
      <c r="B40" s="11" t="s">
        <v>18</v>
      </c>
      <c r="C40" s="11">
        <v>33</v>
      </c>
      <c r="D40" s="11" t="s">
        <v>161</v>
      </c>
      <c r="E40" s="12" t="s">
        <v>162</v>
      </c>
      <c r="F40" s="13">
        <v>0.45</v>
      </c>
      <c r="G40" s="11"/>
      <c r="H40" s="11">
        <v>55</v>
      </c>
      <c r="I40" s="12" t="s">
        <v>15</v>
      </c>
      <c r="J40" s="9"/>
      <c r="K40" s="9"/>
      <c r="L40" s="10"/>
    </row>
    <row r="41" ht="27" customHeight="1" spans="1:12">
      <c r="A41" s="11" t="s">
        <v>163</v>
      </c>
      <c r="B41" s="11" t="s">
        <v>18</v>
      </c>
      <c r="C41" s="11">
        <v>34</v>
      </c>
      <c r="D41" s="11" t="s">
        <v>164</v>
      </c>
      <c r="E41" s="12" t="s">
        <v>165</v>
      </c>
      <c r="F41" s="13">
        <v>0.6</v>
      </c>
      <c r="G41" s="11"/>
      <c r="H41" s="11">
        <v>60</v>
      </c>
      <c r="I41" s="12" t="s">
        <v>15</v>
      </c>
      <c r="J41" s="9"/>
      <c r="K41" s="9"/>
      <c r="L41" s="10"/>
    </row>
    <row r="42" ht="27" customHeight="1" spans="1:12">
      <c r="A42" s="11" t="s">
        <v>166</v>
      </c>
      <c r="B42" s="11" t="s">
        <v>18</v>
      </c>
      <c r="C42" s="11">
        <v>35</v>
      </c>
      <c r="D42" s="11" t="s">
        <v>167</v>
      </c>
      <c r="E42" s="12" t="s">
        <v>168</v>
      </c>
      <c r="F42" s="13">
        <v>0.5</v>
      </c>
      <c r="G42" s="11"/>
      <c r="H42" s="11">
        <v>25</v>
      </c>
      <c r="I42" s="12" t="s">
        <v>15</v>
      </c>
      <c r="J42" s="9"/>
      <c r="K42" s="9"/>
      <c r="L42" s="10"/>
    </row>
    <row r="43" ht="27" customHeight="1" spans="1:12">
      <c r="A43" s="11" t="s">
        <v>169</v>
      </c>
      <c r="B43" s="11" t="s">
        <v>18</v>
      </c>
      <c r="C43" s="11">
        <v>36</v>
      </c>
      <c r="D43" s="11" t="s">
        <v>170</v>
      </c>
      <c r="E43" s="12" t="s">
        <v>97</v>
      </c>
      <c r="F43" s="13">
        <v>0.45</v>
      </c>
      <c r="G43" s="11"/>
      <c r="H43" s="11">
        <v>55</v>
      </c>
      <c r="I43" s="12" t="s">
        <v>21</v>
      </c>
      <c r="J43" s="9"/>
      <c r="K43" s="9"/>
      <c r="L43" s="10"/>
    </row>
    <row r="44" ht="27" customHeight="1" spans="1:12">
      <c r="A44" s="11" t="s">
        <v>171</v>
      </c>
      <c r="B44" s="11" t="s">
        <v>18</v>
      </c>
      <c r="C44" s="11">
        <v>37</v>
      </c>
      <c r="D44" s="11" t="s">
        <v>172</v>
      </c>
      <c r="E44" s="12" t="s">
        <v>173</v>
      </c>
      <c r="F44" s="13">
        <v>0.45</v>
      </c>
      <c r="G44" s="11"/>
      <c r="H44" s="11">
        <v>45</v>
      </c>
      <c r="I44" s="12" t="s">
        <v>21</v>
      </c>
      <c r="J44" s="9"/>
      <c r="K44" s="9"/>
      <c r="L44" s="10"/>
    </row>
    <row r="45" ht="27" customHeight="1" spans="1:12">
      <c r="A45" s="11" t="s">
        <v>174</v>
      </c>
      <c r="B45" s="11" t="s">
        <v>18</v>
      </c>
      <c r="C45" s="11">
        <v>38</v>
      </c>
      <c r="D45" s="11" t="s">
        <v>175</v>
      </c>
      <c r="E45" s="12" t="s">
        <v>176</v>
      </c>
      <c r="F45" s="13">
        <v>3.3</v>
      </c>
      <c r="G45" s="11"/>
      <c r="H45" s="11">
        <v>45</v>
      </c>
      <c r="I45" s="12" t="s">
        <v>15</v>
      </c>
      <c r="J45" s="9"/>
      <c r="K45" s="9"/>
      <c r="L45" s="10"/>
    </row>
    <row r="46" ht="27" customHeight="1" spans="1:12">
      <c r="A46" s="11" t="s">
        <v>177</v>
      </c>
      <c r="B46" s="11" t="s">
        <v>18</v>
      </c>
      <c r="C46" s="11">
        <v>39</v>
      </c>
      <c r="D46" s="11" t="s">
        <v>178</v>
      </c>
      <c r="E46" s="12" t="s">
        <v>179</v>
      </c>
      <c r="F46" s="13">
        <v>3.3</v>
      </c>
      <c r="G46" s="11"/>
      <c r="H46" s="11">
        <v>45</v>
      </c>
      <c r="I46" s="12" t="s">
        <v>15</v>
      </c>
      <c r="J46" s="9"/>
      <c r="K46" s="9"/>
      <c r="L46" s="10"/>
    </row>
    <row r="47" ht="27" customHeight="1" spans="1:12">
      <c r="A47" s="11" t="s">
        <v>180</v>
      </c>
      <c r="B47" s="11" t="s">
        <v>18</v>
      </c>
      <c r="C47" s="11">
        <v>40</v>
      </c>
      <c r="D47" s="11" t="s">
        <v>181</v>
      </c>
      <c r="E47" s="12" t="s">
        <v>182</v>
      </c>
      <c r="F47" s="13">
        <v>1.2</v>
      </c>
      <c r="G47" s="11"/>
      <c r="H47" s="11">
        <v>60</v>
      </c>
      <c r="I47" s="12" t="s">
        <v>15</v>
      </c>
      <c r="J47" s="9"/>
      <c r="K47" s="9"/>
      <c r="L47" s="10"/>
    </row>
    <row r="48" ht="27" customHeight="1" spans="1:12">
      <c r="A48" s="11" t="s">
        <v>183</v>
      </c>
      <c r="B48" s="11" t="s">
        <v>18</v>
      </c>
      <c r="C48" s="11">
        <v>41</v>
      </c>
      <c r="D48" s="11" t="s">
        <v>184</v>
      </c>
      <c r="E48" s="12" t="s">
        <v>185</v>
      </c>
      <c r="F48" s="13">
        <v>0.6</v>
      </c>
      <c r="G48" s="11"/>
      <c r="H48" s="11">
        <v>45</v>
      </c>
      <c r="I48" s="12" t="s">
        <v>15</v>
      </c>
      <c r="J48" s="9"/>
      <c r="K48" s="9"/>
      <c r="L48" s="10"/>
    </row>
    <row r="49" ht="27" customHeight="1" spans="1:12">
      <c r="A49" s="11" t="s">
        <v>186</v>
      </c>
      <c r="B49" s="11" t="s">
        <v>18</v>
      </c>
      <c r="C49" s="11">
        <v>42</v>
      </c>
      <c r="D49" s="11" t="s">
        <v>187</v>
      </c>
      <c r="E49" s="12" t="s">
        <v>188</v>
      </c>
      <c r="F49" s="13">
        <v>0.35</v>
      </c>
      <c r="G49" s="11"/>
      <c r="H49" s="11">
        <v>25</v>
      </c>
      <c r="I49" s="12" t="s">
        <v>21</v>
      </c>
      <c r="J49" s="9"/>
      <c r="K49" s="9"/>
      <c r="L49" s="10"/>
    </row>
    <row r="50" ht="27" customHeight="1" spans="1:12">
      <c r="A50" s="11" t="s">
        <v>189</v>
      </c>
      <c r="B50" s="11" t="s">
        <v>18</v>
      </c>
      <c r="C50" s="11">
        <v>43</v>
      </c>
      <c r="D50" s="11" t="s">
        <v>190</v>
      </c>
      <c r="E50" s="12" t="s">
        <v>191</v>
      </c>
      <c r="F50" s="13">
        <v>0.6</v>
      </c>
      <c r="G50" s="11"/>
      <c r="H50" s="11">
        <v>40</v>
      </c>
      <c r="I50" s="12" t="s">
        <v>15</v>
      </c>
      <c r="J50" s="9"/>
      <c r="K50" s="9"/>
      <c r="L50" s="10"/>
    </row>
    <row r="51" ht="27" customHeight="1" spans="1:12">
      <c r="A51" s="11" t="s">
        <v>192</v>
      </c>
      <c r="B51" s="11" t="s">
        <v>18</v>
      </c>
      <c r="C51" s="11">
        <v>44</v>
      </c>
      <c r="D51" s="11" t="s">
        <v>193</v>
      </c>
      <c r="E51" s="12" t="s">
        <v>194</v>
      </c>
      <c r="F51" s="13">
        <v>1.5</v>
      </c>
      <c r="G51" s="11"/>
      <c r="H51" s="11">
        <v>45</v>
      </c>
      <c r="I51" s="12" t="s">
        <v>15</v>
      </c>
      <c r="J51" s="9"/>
      <c r="K51" s="9"/>
      <c r="L51" s="10"/>
    </row>
    <row r="52" ht="27" customHeight="1" spans="1:12">
      <c r="A52" s="11" t="s">
        <v>195</v>
      </c>
      <c r="B52" s="11" t="s">
        <v>18</v>
      </c>
      <c r="C52" s="11">
        <v>45</v>
      </c>
      <c r="D52" s="11" t="s">
        <v>196</v>
      </c>
      <c r="E52" s="12" t="s">
        <v>197</v>
      </c>
      <c r="F52" s="13">
        <v>0.35</v>
      </c>
      <c r="G52" s="11"/>
      <c r="H52" s="11">
        <v>50</v>
      </c>
      <c r="I52" s="12" t="s">
        <v>21</v>
      </c>
      <c r="J52" s="9"/>
      <c r="K52" s="9"/>
      <c r="L52" s="10"/>
    </row>
  </sheetData>
  <mergeCells count="3">
    <mergeCell ref="A1:L1"/>
    <mergeCell ref="A2:L2"/>
    <mergeCell ref="A3:L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分组报价表</vt:lpstr>
      <vt:lpstr>48台逐柜清单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！</cp:lastModifiedBy>
  <dcterms:created xsi:type="dcterms:W3CDTF">2026-10-27T15:27:16Z</dcterms:created>
  <dcterms:modified xsi:type="dcterms:W3CDTF">2026-10-27T15:33:22Z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018F3D799FFD0C4AAD53E06A61687FA2_42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